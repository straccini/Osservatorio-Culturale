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o F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;(#,##0) €;-"/>
    <numFmt numFmtId="165" formatCode="0.0%"/>
    <numFmt numFmtId="166" formatCode="#,##0;(#,##0);-"/>
    <numFmt numFmtId="167" formatCode="#,##0.0;(#,##0.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34506B"/>
      </patternFill>
    </fill>
    <fill>
      <patternFill patternType="solid">
        <fgColor rgb="00E8EEF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5" fontId="6" fillId="4" borderId="0" applyAlignment="1" pivotButton="0" quotePrefix="0" xfId="0">
      <alignment horizontal="right"/>
    </xf>
    <xf numFmtId="166" fontId="6" fillId="4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Modello economico Sinopia — Fase 2 (validazione)</t>
        </is>
      </c>
    </row>
    <row r="2">
      <c r="A2" s="2" t="inlineStr">
        <is>
          <t>Celle BLU = modificabili · GIALLO = leve chiave · NERO = calcolato.</t>
        </is>
      </c>
    </row>
    <row r="4">
      <c r="A4" s="3" t="inlineStr">
        <is>
          <t>Parametro</t>
        </is>
      </c>
      <c r="B4" s="4" t="inlineStr">
        <is>
          <t>Pessimista</t>
        </is>
      </c>
      <c r="C4" s="4" t="inlineStr">
        <is>
          <t>Atteso</t>
        </is>
      </c>
      <c r="D4" s="4" t="inlineStr">
        <is>
          <t>Ottimista</t>
        </is>
      </c>
    </row>
    <row r="5">
      <c r="A5" s="5" t="inlineStr">
        <is>
          <t>INPUT (modificabili)</t>
        </is>
      </c>
    </row>
    <row r="6">
      <c r="A6" s="6" t="inlineStr">
        <is>
          <t>Consulenza media (€)</t>
        </is>
      </c>
      <c r="B6" s="7" t="n">
        <v>4000</v>
      </c>
      <c r="C6" s="7" t="n">
        <v>7000</v>
      </c>
      <c r="D6" s="7" t="n">
        <v>10000</v>
      </c>
    </row>
    <row r="7">
      <c r="A7" s="6" t="inlineStr">
        <is>
          <t>Valore bando medio (€)</t>
        </is>
      </c>
      <c r="B7" s="7" t="n">
        <v>400000</v>
      </c>
      <c r="C7" s="7" t="n">
        <v>400000</v>
      </c>
      <c r="D7" s="7" t="n">
        <v>400000</v>
      </c>
    </row>
    <row r="8">
      <c r="A8" s="6" t="inlineStr">
        <is>
          <t>Indotto (% del bando)</t>
        </is>
      </c>
      <c r="B8" s="8" t="n">
        <v>0.05</v>
      </c>
      <c r="C8" s="8" t="n">
        <v>0.065</v>
      </c>
      <c r="D8" s="8" t="n">
        <v>0.08</v>
      </c>
    </row>
    <row r="9">
      <c r="A9" s="6" t="inlineStr">
        <is>
          <t>Tasso concretizzazione indotto (%)</t>
        </is>
      </c>
      <c r="B9" s="9" t="n">
        <v>0.2</v>
      </c>
      <c r="C9" s="9" t="n">
        <v>0.35</v>
      </c>
      <c r="D9" s="9" t="n">
        <v>0.5</v>
      </c>
    </row>
    <row r="10">
      <c r="A10" s="6" t="inlineStr">
        <is>
          <t>Capacita erogazione (clienti/anno)</t>
        </is>
      </c>
      <c r="B10" s="10" t="n">
        <v>8</v>
      </c>
      <c r="C10" s="10" t="n">
        <v>15</v>
      </c>
      <c r="D10" s="10" t="n">
        <v>24</v>
      </c>
    </row>
    <row r="11">
      <c r="A11" s="6" t="inlineStr">
        <is>
          <t>Conversione outbound -&gt; cliente (%)</t>
        </is>
      </c>
      <c r="B11" s="8" t="n">
        <v>0.01</v>
      </c>
      <c r="C11" s="8" t="n">
        <v>0.02</v>
      </c>
      <c r="D11" s="8" t="n">
        <v>0.03</v>
      </c>
    </row>
    <row r="12">
      <c r="A12" s="6" t="inlineStr">
        <is>
          <t>Cap cold mail (/mese)</t>
        </is>
      </c>
      <c r="B12" s="11" t="n">
        <v>8</v>
      </c>
      <c r="C12" s="11" t="n">
        <v>8</v>
      </c>
      <c r="D12" s="11" t="n">
        <v>8</v>
      </c>
    </row>
    <row r="13">
      <c r="A13" s="6" t="inlineStr">
        <is>
          <t>Conversione inbound visitatore -&gt; cliente (%)</t>
        </is>
      </c>
      <c r="B13" s="9" t="n">
        <v>0.003</v>
      </c>
      <c r="C13" s="9" t="n">
        <v>0.005</v>
      </c>
      <c r="D13" s="9" t="n">
        <v>0.01</v>
      </c>
    </row>
    <row r="15">
      <c r="A15" s="5" t="inlineStr">
        <is>
          <t>VALORE PER CLIENTE</t>
        </is>
      </c>
    </row>
    <row r="16">
      <c r="A16" s="6" t="inlineStr">
        <is>
          <t>Indotto (€) = bando x %</t>
        </is>
      </c>
      <c r="B16" s="12">
        <f>B7*B8</f>
        <v/>
      </c>
      <c r="C16" s="12">
        <f>C7*C8</f>
        <v/>
      </c>
      <c r="D16" s="12">
        <f>D7*D8</f>
        <v/>
      </c>
    </row>
    <row r="17">
      <c r="A17" s="6" t="inlineStr">
        <is>
          <t>Indotto atteso (€) = indotto x concretizz.</t>
        </is>
      </c>
      <c r="B17" s="12">
        <f>B16*B9</f>
        <v/>
      </c>
      <c r="C17" s="12">
        <f>C16*C9</f>
        <v/>
      </c>
      <c r="D17" s="12">
        <f>D16*D9</f>
        <v/>
      </c>
    </row>
    <row r="18">
      <c r="A18" s="13" t="inlineStr">
        <is>
          <t>Valore per cliente (€)</t>
        </is>
      </c>
      <c r="B18" s="14">
        <f>B6+B17</f>
        <v/>
      </c>
      <c r="C18" s="14">
        <f>C6+C17</f>
        <v/>
      </c>
      <c r="D18" s="14">
        <f>D6+D17</f>
        <v/>
      </c>
    </row>
    <row r="20">
      <c r="A20" s="5" t="inlineStr">
        <is>
          <t>RICAVI ANNUI</t>
        </is>
      </c>
    </row>
    <row r="21">
      <c r="A21" s="13" t="inlineStr">
        <is>
          <t>Ricavi/anno (€) = capacita x valore/cliente</t>
        </is>
      </c>
      <c r="B21" s="14">
        <f>B10*B18</f>
        <v/>
      </c>
      <c r="C21" s="14">
        <f>C10*C18</f>
        <v/>
      </c>
      <c r="D21" s="14">
        <f>D10*D18</f>
        <v/>
      </c>
    </row>
    <row r="22">
      <c r="A22" s="6" t="inlineStr">
        <is>
          <t xml:space="preserve">  di cui consulenza (€)</t>
        </is>
      </c>
      <c r="B22" s="12">
        <f>B10*B6</f>
        <v/>
      </c>
      <c r="C22" s="12">
        <f>C10*C6</f>
        <v/>
      </c>
      <c r="D22" s="12">
        <f>D10*D6</f>
        <v/>
      </c>
    </row>
    <row r="23">
      <c r="A23" s="6" t="inlineStr">
        <is>
          <t xml:space="preserve">  di cui indotto (€)</t>
        </is>
      </c>
      <c r="B23" s="12">
        <f>B10*B17</f>
        <v/>
      </c>
      <c r="C23" s="12">
        <f>C10*C17</f>
        <v/>
      </c>
      <c r="D23" s="12">
        <f>D10*D17</f>
        <v/>
      </c>
    </row>
    <row r="25">
      <c r="A25" s="5" t="inlineStr">
        <is>
          <t>VERIFICA ACQUISIZIONE</t>
        </is>
      </c>
    </row>
    <row r="26">
      <c r="A26" s="6" t="inlineStr">
        <is>
          <t>Clienti/anno da outbound</t>
        </is>
      </c>
      <c r="B26" s="15">
        <f>B12*12*B11</f>
        <v/>
      </c>
      <c r="C26" s="15">
        <f>C12*12*C11</f>
        <v/>
      </c>
      <c r="D26" s="15">
        <f>D12*12*D11</f>
        <v/>
      </c>
    </row>
    <row r="27">
      <c r="A27" s="6" t="inlineStr">
        <is>
          <t>Clienti/anno da inbound (necessari)</t>
        </is>
      </c>
      <c r="B27" s="15">
        <f>MAX(0,B10-B26)</f>
        <v/>
      </c>
      <c r="C27" s="15">
        <f>MAX(0,C10-C26)</f>
        <v/>
      </c>
      <c r="D27" s="15">
        <f>MAX(0,D10-D26)</f>
        <v/>
      </c>
    </row>
    <row r="28">
      <c r="A28" s="6" t="inlineStr">
        <is>
          <t>Contatti inbound necessari (/anno)</t>
        </is>
      </c>
      <c r="B28" s="16">
        <f>IF(B13&gt;0,B27/B13,0)</f>
        <v/>
      </c>
      <c r="C28" s="16">
        <f>IF(C13&gt;0,C27/C13,0)</f>
        <v/>
      </c>
      <c r="D28" s="16">
        <f>IF(D13&gt;0,D27/D13,0)</f>
        <v/>
      </c>
    </row>
    <row r="29">
      <c r="A29" s="6" t="inlineStr">
        <is>
          <t>Contatti inbound necessari (/settimana)</t>
        </is>
      </c>
      <c r="B29" s="15">
        <f>B28/52</f>
        <v/>
      </c>
      <c r="C29" s="15">
        <f>C28/52</f>
        <v/>
      </c>
      <c r="D29" s="15">
        <f>D28/52</f>
        <v/>
      </c>
    </row>
    <row r="31">
      <c r="A31" s="2" t="inlineStr">
        <is>
          <t>Nota: l'indotto si concretizza solo se il bando e vinto e Duemilamusei fornisce beni/servizi (da cui il tasso di concretizzazione).</t>
        </is>
      </c>
    </row>
    <row r="32">
      <c r="A32" s="2" t="inlineStr">
        <is>
          <t>Lettura: i ricavi sono limitati dalla capacita; l'outbound (cap 8/mese) copre pochi clienti -&gt; l'inbound dalle fonti e il motore di acquisizione.</t>
        </is>
      </c>
    </row>
  </sheetData>
  <mergeCells count="8">
    <mergeCell ref="A1:D1"/>
    <mergeCell ref="A5:D5"/>
    <mergeCell ref="A31:D31"/>
    <mergeCell ref="A20:D20"/>
    <mergeCell ref="A15:D15"/>
    <mergeCell ref="A25:D25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2026-06-07T04:31:43Z</dcterms:created>
  <dcterms:modified xsi:type="dcterms:W3CDTF">2026-06-07T04:31:43Z</dcterms:modified>
</cp:coreProperties>
</file>